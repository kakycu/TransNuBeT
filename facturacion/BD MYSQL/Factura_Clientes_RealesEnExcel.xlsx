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ervers\xampp\htdocs\sisfactvisiones\BD MYSQL\"/>
    </mc:Choice>
  </mc:AlternateContent>
  <xr:revisionPtr revIDLastSave="0" documentId="13_ncr:1_{5AD75155-883B-42A4-A668-1CAC91D8E863}" xr6:coauthVersionLast="47" xr6:coauthVersionMax="47" xr10:uidLastSave="{00000000-0000-0000-0000-000000000000}"/>
  <bookViews>
    <workbookView xWindow="-120" yWindow="-120" windowWidth="21240" windowHeight="15270" activeTab="1" xr2:uid="{00000000-000D-0000-FFFF-FFFF00000000}"/>
  </bookViews>
  <sheets>
    <sheet name="Factura" sheetId="1" r:id="rId1"/>
    <sheet name="Dat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C16" i="1"/>
  <c r="D16" i="1" s="1"/>
  <c r="C15" i="1"/>
  <c r="D15" i="1" s="1"/>
  <c r="C14" i="1"/>
  <c r="D14" i="1" s="1"/>
  <c r="C13" i="1"/>
  <c r="D13" i="1" s="1"/>
  <c r="C12" i="1"/>
  <c r="D12" i="1" s="1"/>
  <c r="C11" i="1"/>
  <c r="D11" i="1" s="1"/>
  <c r="C10" i="1"/>
  <c r="D10" i="1" s="1"/>
  <c r="C9" i="1"/>
  <c r="D9" i="1" s="1"/>
  <c r="C8" i="1"/>
  <c r="D8" i="1" s="1"/>
  <c r="C7" i="1"/>
  <c r="D7" i="1" s="1"/>
  <c r="C6" i="1"/>
  <c r="D6" i="1" s="1"/>
  <c r="D17" i="1" l="1"/>
  <c r="C17" i="1"/>
</calcChain>
</file>

<file path=xl/sharedStrings.xml><?xml version="1.0" encoding="utf-8"?>
<sst xmlns="http://schemas.openxmlformats.org/spreadsheetml/2006/main" count="162" uniqueCount="157">
  <si>
    <t>Cliente</t>
  </si>
  <si>
    <t>Cantidad</t>
  </si>
  <si>
    <t>Precio Unitario</t>
  </si>
  <si>
    <t>Total Línea</t>
  </si>
  <si>
    <t>TOTAL</t>
  </si>
  <si>
    <t>Servicios</t>
  </si>
  <si>
    <t>Precio</t>
  </si>
  <si>
    <t>Clientes</t>
  </si>
  <si>
    <t>Credencial (x unidad)</t>
  </si>
  <si>
    <t>UEB El Balkan</t>
  </si>
  <si>
    <t>Credencial (x unidad) con colgante</t>
  </si>
  <si>
    <t>UPR Dirección Municipal de Salud Pública Nuevitas</t>
  </si>
  <si>
    <t>Diploma en Cartulina. Forrado Vinilo</t>
  </si>
  <si>
    <t>Asociación Cubana de técnico Apicolas y Forestales</t>
  </si>
  <si>
    <t>Diseño de Diploma, Tarjetas y Otros</t>
  </si>
  <si>
    <t>UEB Centro Histórico</t>
  </si>
  <si>
    <t>Encuadernado</t>
  </si>
  <si>
    <t>TCP Eliecer Rodriguez Martínez</t>
  </si>
  <si>
    <t>Fotografía 5x7</t>
  </si>
  <si>
    <t>CCS Omelio López</t>
  </si>
  <si>
    <t>Fotografía 1x1 - 3 En Adelante</t>
  </si>
  <si>
    <t>UEB Camalote 1</t>
  </si>
  <si>
    <t>4 Fotos Pasaporte</t>
  </si>
  <si>
    <t>Empresa Municipal Comercio y Gastronomía</t>
  </si>
  <si>
    <t>Fotografía 8.5x11</t>
  </si>
  <si>
    <t>UEB Sucursal Islazul Camagüey</t>
  </si>
  <si>
    <t>Fotocopia / Scaner</t>
  </si>
  <si>
    <t>Empresa Provincial Transporte Camaguey</t>
  </si>
  <si>
    <t>Fotocopia / Scaner D/C</t>
  </si>
  <si>
    <t>CUBIZA</t>
  </si>
  <si>
    <t>Grabar Tazón</t>
  </si>
  <si>
    <t>Empresa Constructora Militar Campaña Las Villas</t>
  </si>
  <si>
    <t>Impresión de Documentos (B/N)</t>
  </si>
  <si>
    <t>EIDE Cerro Pelado</t>
  </si>
  <si>
    <t>Impresión de Documento (Doble Cara B/N)</t>
  </si>
  <si>
    <t>Unidad de Aseguramiento y Apoyo a la Salud</t>
  </si>
  <si>
    <t>Impresión de Documentos (Color)</t>
  </si>
  <si>
    <t>PDL Gema</t>
  </si>
  <si>
    <t>Impresión de Documentos a color (Doble Cara)</t>
  </si>
  <si>
    <t>PDL Flamboyan</t>
  </si>
  <si>
    <t>Impresión de imágenes en papel normal</t>
  </si>
  <si>
    <t>UEB Pizzería Maternillo</t>
  </si>
  <si>
    <t>Impresión de imágenes en papel normal D/C</t>
  </si>
  <si>
    <t>Empresa Comercial del Cemento UEB Nuevitas</t>
  </si>
  <si>
    <t>Impresión en Cartulina 8.5x11</t>
  </si>
  <si>
    <t>Empresa de Navegación Caribe</t>
  </si>
  <si>
    <t>Impresión en Cartulina 12x18</t>
  </si>
  <si>
    <t>Emisora Municipal CMHL Radio Nuevitas</t>
  </si>
  <si>
    <t>Impresión en Cartulina D/C 8.5x11</t>
  </si>
  <si>
    <t>Frankvila Sociedad Unipersonal</t>
  </si>
  <si>
    <t>Impresión en Cartulina D/C 12x18</t>
  </si>
  <si>
    <t>Empresa de Materiales de la Construcción Camagüey</t>
  </si>
  <si>
    <t>Impresión Diplomas en Cartulina 8.5x11</t>
  </si>
  <si>
    <t>Centro Provincial del Cine Camagüey</t>
  </si>
  <si>
    <t>Impresión Diplomas en Cartulina 12x18</t>
  </si>
  <si>
    <t>Universidad de Ciencias Médicas</t>
  </si>
  <si>
    <t>Impresión de imágenes en cartulina 8.5x11</t>
  </si>
  <si>
    <t>Empresa de Servicios Petroleros</t>
  </si>
  <si>
    <t>Impresión Sencilla de Tarjetas</t>
  </si>
  <si>
    <t>Empresa de Pinturas Vitral UEB Nuevitas</t>
  </si>
  <si>
    <t>Impresión Doble Cara Tarjeta</t>
  </si>
  <si>
    <t>Empresa de Servicios Portuarios Centro Este</t>
  </si>
  <si>
    <t>Mica para platicar(tamaño solapin)</t>
  </si>
  <si>
    <t>Empresa de Grupos Electrógenos Camagüey</t>
  </si>
  <si>
    <t>Mica para platicar(tamaño carta)</t>
  </si>
  <si>
    <t>EMGEF Ciego de Ávila</t>
  </si>
  <si>
    <t>Impresión de Planillas (B/N)</t>
  </si>
  <si>
    <t>UPR Consejo Electoral Provincial</t>
  </si>
  <si>
    <t>Impresión de Planillas (Doble Cara B/N)</t>
  </si>
  <si>
    <t>TCP Raymar Guzman Rodriguez</t>
  </si>
  <si>
    <t>Impresión de Planillas (Color)</t>
  </si>
  <si>
    <t>UEB Pizzería Porto Novo</t>
  </si>
  <si>
    <t>Impresión de Planillas (Doble Cara Color)</t>
  </si>
  <si>
    <t>Empresa Pesquera Industrial Santa Cruz del Sur</t>
  </si>
  <si>
    <t>Sublimación textil</t>
  </si>
  <si>
    <t>Empresa de la Sal UEB El Real</t>
  </si>
  <si>
    <t>Trámites de Embajadas</t>
  </si>
  <si>
    <t>UPR Dirección Municipal de Deportes</t>
  </si>
  <si>
    <t>Universidad de Ciencias Médicas de Camagüey</t>
  </si>
  <si>
    <t>CETA SRL</t>
  </si>
  <si>
    <t>MPM León SRL</t>
  </si>
  <si>
    <t>UEB Acueducto y Alcantarillado</t>
  </si>
  <si>
    <t>Central Termoeléctrica 10 de Octubre</t>
  </si>
  <si>
    <t>CARACOL</t>
  </si>
  <si>
    <t>Unidad Empresarial de Apoyo a la Cultura</t>
  </si>
  <si>
    <t>Empresa Mtto Cemento Nuevitas</t>
  </si>
  <si>
    <t>UEB Pastelillo Tarafa</t>
  </si>
  <si>
    <t>UPR Poder Popular Municipal</t>
  </si>
  <si>
    <t>DINVAI Construcciones</t>
  </si>
  <si>
    <t>UEB Parque Camilo Cienfuegos</t>
  </si>
  <si>
    <t>AGESP Centro Este</t>
  </si>
  <si>
    <t>UEB Zona Industrial</t>
  </si>
  <si>
    <t>UPR Trabajo y Seguridad Social</t>
  </si>
  <si>
    <t>UEB Los Micros</t>
  </si>
  <si>
    <t>AGESP</t>
  </si>
  <si>
    <t>Unidad Presupuestada Provincial de Deporte</t>
  </si>
  <si>
    <t>Astilleros Oriente Nuevitas</t>
  </si>
  <si>
    <t>Pasteurizadora Nuevitas</t>
  </si>
  <si>
    <t>Empresa Transportación Combustible</t>
  </si>
  <si>
    <t>Dirección Provincial de Deporte</t>
  </si>
  <si>
    <t>SM KLIMATIZA SRL</t>
  </si>
  <si>
    <t>Empresa Provincial de Alojamiento</t>
  </si>
  <si>
    <t>Proyecto CETA</t>
  </si>
  <si>
    <t>EMPET</t>
  </si>
  <si>
    <t>UEB Nuevimar</t>
  </si>
  <si>
    <t>Contrato Administración de Servicios</t>
  </si>
  <si>
    <t>Servicios Comunales Nuevitas</t>
  </si>
  <si>
    <t>Unidad Municipal de Cultura</t>
  </si>
  <si>
    <t>Transportaciones Oro SURL</t>
  </si>
  <si>
    <t>PDL El Rey</t>
  </si>
  <si>
    <t>Empresa Construcción Villa Clara</t>
  </si>
  <si>
    <t>CUPET</t>
  </si>
  <si>
    <t>SURL Construcciones Mario</t>
  </si>
  <si>
    <t>PDL El Porvenir</t>
  </si>
  <si>
    <t>Frutas Selectas UEB Frigorífico</t>
  </si>
  <si>
    <t>Dirección Municipal de Vivienda</t>
  </si>
  <si>
    <t>PDL Soluciones Aquí</t>
  </si>
  <si>
    <t>SUR El Talismán</t>
  </si>
  <si>
    <t>Heladería Los PP´s SRL</t>
  </si>
  <si>
    <t>Empresa Asistencia y Servicios</t>
  </si>
  <si>
    <t>SERVILIM SRL</t>
  </si>
  <si>
    <t>TCP Soldadura GRB</t>
  </si>
  <si>
    <t>Empresa Flora y Fauna</t>
  </si>
  <si>
    <t>Unidad Aseguramiento Municipal</t>
  </si>
  <si>
    <t>Dirección Municipal de Educación</t>
  </si>
  <si>
    <t>CNA Construcción Pirámide</t>
  </si>
  <si>
    <t>GONEV</t>
  </si>
  <si>
    <t>UEB Servicios Comunales</t>
  </si>
  <si>
    <t>Proyecto Lazos</t>
  </si>
  <si>
    <t>EMGEF Camagüey</t>
  </si>
  <si>
    <t>Empresa Cemento 26 de Julio</t>
  </si>
  <si>
    <t>HIDRORED</t>
  </si>
  <si>
    <t>BANDEC Nuevitas</t>
  </si>
  <si>
    <t>NueviTec SURL</t>
  </si>
  <si>
    <t>Empresa Derivados del Acero</t>
  </si>
  <si>
    <t>SEMANT SRL</t>
  </si>
  <si>
    <t>Aduana Camagüey</t>
  </si>
  <si>
    <t>Empresa Pesquera Nuevitas</t>
  </si>
  <si>
    <t>UEB Alimenticia Nuevitas</t>
  </si>
  <si>
    <t>Televisión Camagüey</t>
  </si>
  <si>
    <t>Hospital Martín Chang Puga</t>
  </si>
  <si>
    <t>Proyecto GANEV</t>
  </si>
  <si>
    <t>TCP María Isabel Céspedes</t>
  </si>
  <si>
    <t>UEB Farmacias</t>
  </si>
  <si>
    <t>SERVIQUIMICA</t>
  </si>
  <si>
    <t>UJC Nuevitas</t>
  </si>
  <si>
    <t>Empresa Investigaciones Aplicadas</t>
  </si>
  <si>
    <t>CTC Provincial</t>
  </si>
  <si>
    <t>PDL GANEV</t>
  </si>
  <si>
    <t>Empresa Química Revolución de Octubre</t>
  </si>
  <si>
    <t>UEB Industrias Locales</t>
  </si>
  <si>
    <t>PDL Aguas Nuevas</t>
  </si>
  <si>
    <t>TCP Ramón Alarcón</t>
  </si>
  <si>
    <t>TCP Joaquín John Rodríguez</t>
  </si>
  <si>
    <t>UEB Gastronómica El Puente</t>
  </si>
  <si>
    <t>TransNubet</t>
  </si>
  <si>
    <t>FACTURA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</si>
</sst>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44" fontId="2" fillId="0" borderId="0" xfId="1" applyFont="1" applyAlignment="1">
      <alignment horizontal="right"/>
    </xf>
    <xf numFmtId="0" fontId="2" fillId="0" borderId="0" xfId="0" applyFont="1"/>
    <xf numFmtId="0" fontId="0" fillId="0" borderId="0" xfId="0" applyAlignment="1">
      <alignment horizontal="center"/>
    </xf>
    <xf numFmtId="0" fontId="0" fillId="2" borderId="2" xfId="0" applyFill="1" applyBorder="1"/>
    <xf numFmtId="44" fontId="2" fillId="3" borderId="3" xfId="1" applyFont="1" applyFill="1" applyBorder="1" applyAlignment="1">
      <alignment horizontal="right"/>
    </xf>
    <xf numFmtId="0" fontId="0" fillId="2" borderId="2" xfId="0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44" fontId="0" fillId="2" borderId="2" xfId="1" applyFont="1" applyFill="1" applyBorder="1" applyAlignment="1">
      <alignment horizontal="righ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/>
  </sheetViews>
  <sheetFormatPr baseColWidth="10" defaultColWidth="9.140625" defaultRowHeight="15" x14ac:dyDescent="0.25"/>
  <cols>
    <col min="1" max="1" width="44.140625" customWidth="1"/>
    <col min="2" max="2" width="10.42578125" style="3" customWidth="1"/>
    <col min="3" max="3" width="13.7109375" customWidth="1"/>
    <col min="4" max="4" width="15.42578125" customWidth="1"/>
  </cols>
  <sheetData>
    <row r="1" spans="1:4" x14ac:dyDescent="0.25">
      <c r="A1" s="2" t="s">
        <v>156</v>
      </c>
    </row>
    <row r="3" spans="1:4" x14ac:dyDescent="0.25">
      <c r="A3" s="9" t="s">
        <v>0</v>
      </c>
      <c r="B3" s="12" t="s">
        <v>155</v>
      </c>
      <c r="C3" s="13"/>
      <c r="D3" s="14"/>
    </row>
    <row r="5" spans="1:4" x14ac:dyDescent="0.25">
      <c r="A5" s="9" t="s">
        <v>5</v>
      </c>
      <c r="B5" s="10" t="s">
        <v>1</v>
      </c>
      <c r="C5" s="11" t="s">
        <v>2</v>
      </c>
      <c r="D5" s="11" t="s">
        <v>3</v>
      </c>
    </row>
    <row r="6" spans="1:4" x14ac:dyDescent="0.25">
      <c r="A6" s="4" t="s">
        <v>22</v>
      </c>
      <c r="B6" s="6">
        <v>300</v>
      </c>
      <c r="C6" s="8">
        <f>IFERROR(VLOOKUP(A6,Datos!$A$2:$B$36,2,FALSE),0)</f>
        <v>500</v>
      </c>
      <c r="D6" s="8">
        <f>B6*C6</f>
        <v>150000</v>
      </c>
    </row>
    <row r="7" spans="1:4" x14ac:dyDescent="0.25">
      <c r="A7" s="4" t="s">
        <v>24</v>
      </c>
      <c r="B7" s="6">
        <v>12</v>
      </c>
      <c r="C7" s="8">
        <f>IFERROR(VLOOKUP(A7,Datos!$A$2:$B$36,2,FALSE),0)</f>
        <v>1000</v>
      </c>
      <c r="D7" s="8">
        <f>B7*C7</f>
        <v>12000</v>
      </c>
    </row>
    <row r="8" spans="1:4" x14ac:dyDescent="0.25">
      <c r="A8" s="4" t="s">
        <v>38</v>
      </c>
      <c r="B8" s="6"/>
      <c r="C8" s="8">
        <f>IFERROR(VLOOKUP(A8,Datos!$A$2:$B$36,2,FALSE),0)</f>
        <v>65</v>
      </c>
      <c r="D8" s="8">
        <f>B8*C8</f>
        <v>0</v>
      </c>
    </row>
    <row r="9" spans="1:4" x14ac:dyDescent="0.25">
      <c r="A9" s="4"/>
      <c r="B9" s="6"/>
      <c r="C9" s="8">
        <f>IFERROR(VLOOKUP(A9,Datos!$A$2:$B$36,2,FALSE),0)</f>
        <v>0</v>
      </c>
      <c r="D9" s="8">
        <f>B9*C9</f>
        <v>0</v>
      </c>
    </row>
    <row r="10" spans="1:4" x14ac:dyDescent="0.25">
      <c r="A10" s="4"/>
      <c r="B10" s="6"/>
      <c r="C10" s="8">
        <f>IFERROR(VLOOKUP(A10,Datos!$A$2:$B$36,2,FALSE),0)</f>
        <v>0</v>
      </c>
      <c r="D10" s="8">
        <f>B10*C10</f>
        <v>0</v>
      </c>
    </row>
    <row r="11" spans="1:4" x14ac:dyDescent="0.25">
      <c r="A11" s="4"/>
      <c r="B11" s="6"/>
      <c r="C11" s="8">
        <f>IFERROR(VLOOKUP(A11,Datos!$A$2:$B$36,2,FALSE),0)</f>
        <v>0</v>
      </c>
      <c r="D11" s="8">
        <f>B11*C11</f>
        <v>0</v>
      </c>
    </row>
    <row r="12" spans="1:4" x14ac:dyDescent="0.25">
      <c r="A12" s="4"/>
      <c r="B12" s="6"/>
      <c r="C12" s="8">
        <f>IFERROR(VLOOKUP(A12,Datos!$A$2:$B$36,2,FALSE),0)</f>
        <v>0</v>
      </c>
      <c r="D12" s="8">
        <f>B12*C12</f>
        <v>0</v>
      </c>
    </row>
    <row r="13" spans="1:4" x14ac:dyDescent="0.25">
      <c r="A13" s="4"/>
      <c r="B13" s="6"/>
      <c r="C13" s="8">
        <f>IFERROR(VLOOKUP(A13,Datos!$A$2:$B$36,2,FALSE),0)</f>
        <v>0</v>
      </c>
      <c r="D13" s="8">
        <f>B13*C13</f>
        <v>0</v>
      </c>
    </row>
    <row r="14" spans="1:4" x14ac:dyDescent="0.25">
      <c r="A14" s="4"/>
      <c r="B14" s="6"/>
      <c r="C14" s="8">
        <f>IFERROR(VLOOKUP(A14,Datos!$A$2:$B$36,2,FALSE),0)</f>
        <v>0</v>
      </c>
      <c r="D14" s="8">
        <f>B14*C14</f>
        <v>0</v>
      </c>
    </row>
    <row r="15" spans="1:4" x14ac:dyDescent="0.25">
      <c r="A15" s="4"/>
      <c r="B15" s="6"/>
      <c r="C15" s="8">
        <f>IFERROR(VLOOKUP(A15,Datos!$A$2:$B$36,2,FALSE),0)</f>
        <v>0</v>
      </c>
      <c r="D15" s="8">
        <f>B15*C15</f>
        <v>0</v>
      </c>
    </row>
    <row r="16" spans="1:4" x14ac:dyDescent="0.25">
      <c r="A16" s="4"/>
      <c r="B16" s="6"/>
      <c r="C16" s="8">
        <f>IFERROR(VLOOKUP(A16,Datos!$A$2:$B$36,2,FALSE),0)</f>
        <v>0</v>
      </c>
      <c r="D16" s="8">
        <f>B16*C16</f>
        <v>0</v>
      </c>
    </row>
    <row r="17" spans="1:4" x14ac:dyDescent="0.25">
      <c r="A17" s="5" t="s">
        <v>4</v>
      </c>
      <c r="B17" s="7">
        <f t="shared" ref="B17:C17" si="0">SUM(B6:B16)</f>
        <v>312</v>
      </c>
      <c r="C17" s="5">
        <f t="shared" si="0"/>
        <v>1565</v>
      </c>
      <c r="D17" s="5">
        <f>SUM(D6:D16)</f>
        <v>162000</v>
      </c>
    </row>
  </sheetData>
  <mergeCells count="1">
    <mergeCell ref="B3:D3"/>
  </mergeCells>
  <pageMargins left="0.75" right="0.75" top="1" bottom="1" header="0.5" footer="0.5"/>
  <pageSetup orientation="portrait" horizontalDpi="300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Datos!$A$2:$A$36</xm:f>
          </x14:formula1>
          <xm:sqref>A6:A16</xm:sqref>
        </x14:dataValidation>
        <x14:dataValidation type="list" xr:uid="{FFE7D4C7-BFC5-4CE5-A6FB-12678FB2B195}">
          <x14:formula1>
            <xm:f>Datos!$D$2:$D$500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4"/>
  <sheetViews>
    <sheetView tabSelected="1" workbookViewId="0"/>
  </sheetViews>
  <sheetFormatPr baseColWidth="10" defaultColWidth="9.140625" defaultRowHeight="15" x14ac:dyDescent="0.25"/>
  <cols>
    <col min="1" max="1" width="42.85546875" bestFit="1" customWidth="1"/>
    <col min="2" max="2" width="10.5703125" style="1" bestFit="1" customWidth="1"/>
  </cols>
  <sheetData>
    <row r="1" spans="1:4" x14ac:dyDescent="0.25">
      <c r="A1" s="2" t="s">
        <v>5</v>
      </c>
      <c r="B1" s="1" t="s">
        <v>6</v>
      </c>
      <c r="C1" s="2"/>
      <c r="D1" s="2" t="s">
        <v>7</v>
      </c>
    </row>
    <row r="2" spans="1:4" x14ac:dyDescent="0.25">
      <c r="A2" t="s">
        <v>8</v>
      </c>
      <c r="B2" s="1">
        <v>200</v>
      </c>
      <c r="D2" t="s">
        <v>9</v>
      </c>
    </row>
    <row r="3" spans="1:4" x14ac:dyDescent="0.25">
      <c r="A3" t="s">
        <v>10</v>
      </c>
      <c r="B3" s="1">
        <v>280</v>
      </c>
      <c r="D3" t="s">
        <v>11</v>
      </c>
    </row>
    <row r="4" spans="1:4" x14ac:dyDescent="0.25">
      <c r="A4" t="s">
        <v>12</v>
      </c>
      <c r="B4" s="1">
        <v>300</v>
      </c>
      <c r="D4" t="s">
        <v>13</v>
      </c>
    </row>
    <row r="5" spans="1:4" x14ac:dyDescent="0.25">
      <c r="A5" t="s">
        <v>14</v>
      </c>
      <c r="B5" s="1">
        <v>500</v>
      </c>
      <c r="D5" t="s">
        <v>15</v>
      </c>
    </row>
    <row r="6" spans="1:4" x14ac:dyDescent="0.25">
      <c r="A6" t="s">
        <v>16</v>
      </c>
      <c r="B6" s="1">
        <v>600</v>
      </c>
      <c r="D6" t="s">
        <v>17</v>
      </c>
    </row>
    <row r="7" spans="1:4" x14ac:dyDescent="0.25">
      <c r="A7" t="s">
        <v>18</v>
      </c>
      <c r="B7" s="1">
        <v>75</v>
      </c>
      <c r="D7" t="s">
        <v>19</v>
      </c>
    </row>
    <row r="8" spans="1:4" x14ac:dyDescent="0.25">
      <c r="A8" t="s">
        <v>20</v>
      </c>
      <c r="B8" s="1">
        <v>50</v>
      </c>
      <c r="D8" t="s">
        <v>21</v>
      </c>
    </row>
    <row r="9" spans="1:4" x14ac:dyDescent="0.25">
      <c r="A9" t="s">
        <v>22</v>
      </c>
      <c r="B9" s="1">
        <v>500</v>
      </c>
      <c r="D9" t="s">
        <v>23</v>
      </c>
    </row>
    <row r="10" spans="1:4" x14ac:dyDescent="0.25">
      <c r="A10" t="s">
        <v>24</v>
      </c>
      <c r="B10" s="1">
        <v>1000</v>
      </c>
      <c r="D10" t="s">
        <v>25</v>
      </c>
    </row>
    <row r="11" spans="1:4" x14ac:dyDescent="0.25">
      <c r="A11" t="s">
        <v>26</v>
      </c>
      <c r="B11" s="1">
        <v>45</v>
      </c>
      <c r="D11" t="s">
        <v>27</v>
      </c>
    </row>
    <row r="12" spans="1:4" x14ac:dyDescent="0.25">
      <c r="A12" t="s">
        <v>28</v>
      </c>
      <c r="B12" s="1">
        <v>75</v>
      </c>
      <c r="D12" t="s">
        <v>29</v>
      </c>
    </row>
    <row r="13" spans="1:4" x14ac:dyDescent="0.25">
      <c r="A13" t="s">
        <v>30</v>
      </c>
      <c r="B13" s="1">
        <v>2300</v>
      </c>
      <c r="D13" t="s">
        <v>31</v>
      </c>
    </row>
    <row r="14" spans="1:4" x14ac:dyDescent="0.25">
      <c r="A14" t="s">
        <v>32</v>
      </c>
      <c r="B14" s="1">
        <v>25</v>
      </c>
      <c r="D14" t="s">
        <v>33</v>
      </c>
    </row>
    <row r="15" spans="1:4" x14ac:dyDescent="0.25">
      <c r="A15" t="s">
        <v>34</v>
      </c>
      <c r="B15" s="1">
        <v>45</v>
      </c>
      <c r="D15" t="s">
        <v>35</v>
      </c>
    </row>
    <row r="16" spans="1:4" x14ac:dyDescent="0.25">
      <c r="A16" t="s">
        <v>36</v>
      </c>
      <c r="B16" s="1">
        <v>35</v>
      </c>
      <c r="D16" t="s">
        <v>37</v>
      </c>
    </row>
    <row r="17" spans="1:4" x14ac:dyDescent="0.25">
      <c r="A17" t="s">
        <v>38</v>
      </c>
      <c r="B17" s="1">
        <v>65</v>
      </c>
      <c r="D17" t="s">
        <v>39</v>
      </c>
    </row>
    <row r="18" spans="1:4" x14ac:dyDescent="0.25">
      <c r="A18" t="s">
        <v>40</v>
      </c>
      <c r="B18" s="1">
        <v>55</v>
      </c>
      <c r="D18" t="s">
        <v>41</v>
      </c>
    </row>
    <row r="19" spans="1:4" x14ac:dyDescent="0.25">
      <c r="A19" t="s">
        <v>42</v>
      </c>
      <c r="B19" s="1">
        <v>95</v>
      </c>
      <c r="D19" t="s">
        <v>43</v>
      </c>
    </row>
    <row r="20" spans="1:4" x14ac:dyDescent="0.25">
      <c r="A20" t="s">
        <v>44</v>
      </c>
      <c r="B20" s="1">
        <v>300</v>
      </c>
      <c r="D20" t="s">
        <v>45</v>
      </c>
    </row>
    <row r="21" spans="1:4" x14ac:dyDescent="0.25">
      <c r="A21" t="s">
        <v>46</v>
      </c>
      <c r="B21" s="1">
        <v>90</v>
      </c>
      <c r="D21" t="s">
        <v>47</v>
      </c>
    </row>
    <row r="22" spans="1:4" x14ac:dyDescent="0.25">
      <c r="A22" t="s">
        <v>48</v>
      </c>
      <c r="B22" s="1">
        <v>570</v>
      </c>
      <c r="D22" t="s">
        <v>49</v>
      </c>
    </row>
    <row r="23" spans="1:4" x14ac:dyDescent="0.25">
      <c r="A23" t="s">
        <v>50</v>
      </c>
      <c r="B23" s="1">
        <v>170</v>
      </c>
      <c r="D23" t="s">
        <v>51</v>
      </c>
    </row>
    <row r="24" spans="1:4" x14ac:dyDescent="0.25">
      <c r="A24" t="s">
        <v>52</v>
      </c>
      <c r="B24" s="1">
        <v>360</v>
      </c>
      <c r="D24" t="s">
        <v>53</v>
      </c>
    </row>
    <row r="25" spans="1:4" x14ac:dyDescent="0.25">
      <c r="A25" t="s">
        <v>54</v>
      </c>
      <c r="B25" s="1">
        <v>110</v>
      </c>
      <c r="D25" t="s">
        <v>55</v>
      </c>
    </row>
    <row r="26" spans="1:4" x14ac:dyDescent="0.25">
      <c r="A26" t="s">
        <v>56</v>
      </c>
      <c r="B26" s="1">
        <v>360</v>
      </c>
      <c r="D26" t="s">
        <v>57</v>
      </c>
    </row>
    <row r="27" spans="1:4" x14ac:dyDescent="0.25">
      <c r="A27" t="s">
        <v>58</v>
      </c>
      <c r="B27" s="1">
        <v>25</v>
      </c>
      <c r="D27" t="s">
        <v>59</v>
      </c>
    </row>
    <row r="28" spans="1:4" x14ac:dyDescent="0.25">
      <c r="A28" t="s">
        <v>60</v>
      </c>
      <c r="B28" s="1">
        <v>65</v>
      </c>
      <c r="D28" t="s">
        <v>61</v>
      </c>
    </row>
    <row r="29" spans="1:4" x14ac:dyDescent="0.25">
      <c r="A29" t="s">
        <v>62</v>
      </c>
      <c r="B29" s="1">
        <v>100</v>
      </c>
      <c r="D29" t="s">
        <v>63</v>
      </c>
    </row>
    <row r="30" spans="1:4" x14ac:dyDescent="0.25">
      <c r="A30" t="s">
        <v>64</v>
      </c>
      <c r="B30" s="1">
        <v>400</v>
      </c>
      <c r="D30" t="s">
        <v>65</v>
      </c>
    </row>
    <row r="31" spans="1:4" x14ac:dyDescent="0.25">
      <c r="A31" t="s">
        <v>66</v>
      </c>
      <c r="B31" s="1">
        <v>25</v>
      </c>
      <c r="D31" t="s">
        <v>67</v>
      </c>
    </row>
    <row r="32" spans="1:4" x14ac:dyDescent="0.25">
      <c r="A32" t="s">
        <v>68</v>
      </c>
      <c r="B32" s="1">
        <v>50</v>
      </c>
      <c r="D32" t="s">
        <v>69</v>
      </c>
    </row>
    <row r="33" spans="1:4" x14ac:dyDescent="0.25">
      <c r="A33" t="s">
        <v>70</v>
      </c>
      <c r="B33" s="1">
        <v>50</v>
      </c>
      <c r="D33" t="s">
        <v>71</v>
      </c>
    </row>
    <row r="34" spans="1:4" x14ac:dyDescent="0.25">
      <c r="A34" t="s">
        <v>72</v>
      </c>
      <c r="B34" s="1">
        <v>55</v>
      </c>
      <c r="D34" t="s">
        <v>73</v>
      </c>
    </row>
    <row r="35" spans="1:4" x14ac:dyDescent="0.25">
      <c r="A35" t="s">
        <v>74</v>
      </c>
      <c r="B35" s="1">
        <v>1800</v>
      </c>
      <c r="D35" t="s">
        <v>75</v>
      </c>
    </row>
    <row r="36" spans="1:4" x14ac:dyDescent="0.25">
      <c r="A36" t="s">
        <v>76</v>
      </c>
      <c r="B36" s="1">
        <v>1000</v>
      </c>
      <c r="D36" t="s">
        <v>77</v>
      </c>
    </row>
    <row r="37" spans="1:4" x14ac:dyDescent="0.25">
      <c r="D37" t="s">
        <v>78</v>
      </c>
    </row>
    <row r="38" spans="1:4" x14ac:dyDescent="0.25">
      <c r="D38" t="s">
        <v>79</v>
      </c>
    </row>
    <row r="39" spans="1:4" x14ac:dyDescent="0.25">
      <c r="D39" t="s">
        <v>80</v>
      </c>
    </row>
    <row r="40" spans="1:4" x14ac:dyDescent="0.25">
      <c r="D40" t="s">
        <v>81</v>
      </c>
    </row>
    <row r="41" spans="1:4" x14ac:dyDescent="0.25">
      <c r="D41" t="s">
        <v>82</v>
      </c>
    </row>
    <row r="42" spans="1:4" x14ac:dyDescent="0.25">
      <c r="D42" t="s">
        <v>83</v>
      </c>
    </row>
    <row r="43" spans="1:4" x14ac:dyDescent="0.25">
      <c r="D43" t="s">
        <v>84</v>
      </c>
    </row>
    <row r="44" spans="1:4" x14ac:dyDescent="0.25">
      <c r="D44" t="s">
        <v>85</v>
      </c>
    </row>
    <row r="45" spans="1:4" x14ac:dyDescent="0.25">
      <c r="D45" t="s">
        <v>86</v>
      </c>
    </row>
    <row r="46" spans="1:4" x14ac:dyDescent="0.25">
      <c r="D46" t="s">
        <v>87</v>
      </c>
    </row>
    <row r="47" spans="1:4" x14ac:dyDescent="0.25">
      <c r="D47" t="s">
        <v>88</v>
      </c>
    </row>
    <row r="48" spans="1:4" x14ac:dyDescent="0.25">
      <c r="D48" t="s">
        <v>89</v>
      </c>
    </row>
    <row r="49" spans="4:4" x14ac:dyDescent="0.25">
      <c r="D49" t="s">
        <v>90</v>
      </c>
    </row>
    <row r="50" spans="4:4" x14ac:dyDescent="0.25">
      <c r="D50" t="s">
        <v>91</v>
      </c>
    </row>
    <row r="51" spans="4:4" x14ac:dyDescent="0.25">
      <c r="D51" t="s">
        <v>92</v>
      </c>
    </row>
    <row r="52" spans="4:4" x14ac:dyDescent="0.25">
      <c r="D52" t="s">
        <v>93</v>
      </c>
    </row>
    <row r="53" spans="4:4" x14ac:dyDescent="0.25">
      <c r="D53" t="s">
        <v>94</v>
      </c>
    </row>
    <row r="54" spans="4:4" x14ac:dyDescent="0.25">
      <c r="D54" t="s">
        <v>95</v>
      </c>
    </row>
    <row r="55" spans="4:4" x14ac:dyDescent="0.25">
      <c r="D55" t="s">
        <v>96</v>
      </c>
    </row>
    <row r="56" spans="4:4" x14ac:dyDescent="0.25">
      <c r="D56" t="s">
        <v>97</v>
      </c>
    </row>
    <row r="57" spans="4:4" x14ac:dyDescent="0.25">
      <c r="D57" t="s">
        <v>98</v>
      </c>
    </row>
    <row r="58" spans="4:4" x14ac:dyDescent="0.25">
      <c r="D58" t="s">
        <v>99</v>
      </c>
    </row>
    <row r="59" spans="4:4" x14ac:dyDescent="0.25">
      <c r="D59" t="s">
        <v>100</v>
      </c>
    </row>
    <row r="60" spans="4:4" x14ac:dyDescent="0.25">
      <c r="D60" t="s">
        <v>101</v>
      </c>
    </row>
    <row r="61" spans="4:4" x14ac:dyDescent="0.25">
      <c r="D61" t="s">
        <v>102</v>
      </c>
    </row>
    <row r="62" spans="4:4" x14ac:dyDescent="0.25">
      <c r="D62" t="s">
        <v>103</v>
      </c>
    </row>
    <row r="63" spans="4:4" x14ac:dyDescent="0.25">
      <c r="D63" t="s">
        <v>104</v>
      </c>
    </row>
    <row r="64" spans="4:4" x14ac:dyDescent="0.25">
      <c r="D64" t="s">
        <v>105</v>
      </c>
    </row>
    <row r="65" spans="4:4" x14ac:dyDescent="0.25">
      <c r="D65" t="s">
        <v>106</v>
      </c>
    </row>
    <row r="66" spans="4:4" x14ac:dyDescent="0.25">
      <c r="D66" t="s">
        <v>107</v>
      </c>
    </row>
    <row r="67" spans="4:4" x14ac:dyDescent="0.25">
      <c r="D67" t="s">
        <v>108</v>
      </c>
    </row>
    <row r="68" spans="4:4" x14ac:dyDescent="0.25">
      <c r="D68" t="s">
        <v>109</v>
      </c>
    </row>
    <row r="69" spans="4:4" x14ac:dyDescent="0.25">
      <c r="D69" t="s">
        <v>110</v>
      </c>
    </row>
    <row r="70" spans="4:4" x14ac:dyDescent="0.25">
      <c r="D70" t="s">
        <v>111</v>
      </c>
    </row>
    <row r="71" spans="4:4" x14ac:dyDescent="0.25">
      <c r="D71" t="s">
        <v>112</v>
      </c>
    </row>
    <row r="72" spans="4:4" x14ac:dyDescent="0.25">
      <c r="D72" t="s">
        <v>113</v>
      </c>
    </row>
    <row r="73" spans="4:4" x14ac:dyDescent="0.25">
      <c r="D73" t="s">
        <v>114</v>
      </c>
    </row>
    <row r="74" spans="4:4" x14ac:dyDescent="0.25">
      <c r="D74" t="s">
        <v>115</v>
      </c>
    </row>
    <row r="75" spans="4:4" x14ac:dyDescent="0.25">
      <c r="D75" t="s">
        <v>116</v>
      </c>
    </row>
    <row r="76" spans="4:4" x14ac:dyDescent="0.25">
      <c r="D76" t="s">
        <v>117</v>
      </c>
    </row>
    <row r="77" spans="4:4" x14ac:dyDescent="0.25">
      <c r="D77" t="s">
        <v>118</v>
      </c>
    </row>
    <row r="78" spans="4:4" x14ac:dyDescent="0.25">
      <c r="D78" t="s">
        <v>119</v>
      </c>
    </row>
    <row r="79" spans="4:4" x14ac:dyDescent="0.25">
      <c r="D79" t="s">
        <v>120</v>
      </c>
    </row>
    <row r="80" spans="4:4" x14ac:dyDescent="0.25">
      <c r="D80" t="s">
        <v>121</v>
      </c>
    </row>
    <row r="81" spans="4:4" x14ac:dyDescent="0.25">
      <c r="D81" t="s">
        <v>122</v>
      </c>
    </row>
    <row r="82" spans="4:4" x14ac:dyDescent="0.25">
      <c r="D82" t="s">
        <v>123</v>
      </c>
    </row>
    <row r="83" spans="4:4" x14ac:dyDescent="0.25">
      <c r="D83" t="s">
        <v>124</v>
      </c>
    </row>
    <row r="84" spans="4:4" x14ac:dyDescent="0.25">
      <c r="D84" t="s">
        <v>125</v>
      </c>
    </row>
    <row r="85" spans="4:4" x14ac:dyDescent="0.25">
      <c r="D85" t="s">
        <v>126</v>
      </c>
    </row>
    <row r="86" spans="4:4" x14ac:dyDescent="0.25">
      <c r="D86" t="s">
        <v>127</v>
      </c>
    </row>
    <row r="87" spans="4:4" x14ac:dyDescent="0.25">
      <c r="D87" t="s">
        <v>128</v>
      </c>
    </row>
    <row r="88" spans="4:4" x14ac:dyDescent="0.25">
      <c r="D88" t="s">
        <v>129</v>
      </c>
    </row>
    <row r="89" spans="4:4" x14ac:dyDescent="0.25">
      <c r="D89" t="s">
        <v>130</v>
      </c>
    </row>
    <row r="90" spans="4:4" x14ac:dyDescent="0.25">
      <c r="D90" t="s">
        <v>131</v>
      </c>
    </row>
    <row r="91" spans="4:4" x14ac:dyDescent="0.25">
      <c r="D91" t="s">
        <v>132</v>
      </c>
    </row>
    <row r="92" spans="4:4" x14ac:dyDescent="0.25">
      <c r="D92" t="s">
        <v>133</v>
      </c>
    </row>
    <row r="93" spans="4:4" x14ac:dyDescent="0.25">
      <c r="D93" t="s">
        <v>134</v>
      </c>
    </row>
    <row r="94" spans="4:4" x14ac:dyDescent="0.25">
      <c r="D94" t="s">
        <v>135</v>
      </c>
    </row>
    <row r="95" spans="4:4" x14ac:dyDescent="0.25">
      <c r="D95" t="s">
        <v>136</v>
      </c>
    </row>
    <row r="96" spans="4:4" x14ac:dyDescent="0.25">
      <c r="D96" t="s">
        <v>137</v>
      </c>
    </row>
    <row r="97" spans="4:4" x14ac:dyDescent="0.25">
      <c r="D97" t="s">
        <v>138</v>
      </c>
    </row>
    <row r="98" spans="4:4" x14ac:dyDescent="0.25">
      <c r="D98" t="s">
        <v>139</v>
      </c>
    </row>
    <row r="99" spans="4:4" x14ac:dyDescent="0.25">
      <c r="D99" t="s">
        <v>140</v>
      </c>
    </row>
    <row r="100" spans="4:4" x14ac:dyDescent="0.25">
      <c r="D100" t="s">
        <v>141</v>
      </c>
    </row>
    <row r="101" spans="4:4" x14ac:dyDescent="0.25">
      <c r="D101" t="s">
        <v>142</v>
      </c>
    </row>
    <row r="102" spans="4:4" x14ac:dyDescent="0.25">
      <c r="D102" t="s">
        <v>143</v>
      </c>
    </row>
    <row r="103" spans="4:4" x14ac:dyDescent="0.25">
      <c r="D103" t="s">
        <v>144</v>
      </c>
    </row>
    <row r="104" spans="4:4" x14ac:dyDescent="0.25">
      <c r="D104" t="s">
        <v>145</v>
      </c>
    </row>
    <row r="105" spans="4:4" x14ac:dyDescent="0.25">
      <c r="D105" t="s">
        <v>146</v>
      </c>
    </row>
    <row r="106" spans="4:4" x14ac:dyDescent="0.25">
      <c r="D106" t="s">
        <v>147</v>
      </c>
    </row>
    <row r="107" spans="4:4" x14ac:dyDescent="0.25">
      <c r="D107" t="s">
        <v>148</v>
      </c>
    </row>
    <row r="108" spans="4:4" x14ac:dyDescent="0.25">
      <c r="D108" t="s">
        <v>149</v>
      </c>
    </row>
    <row r="109" spans="4:4" x14ac:dyDescent="0.25">
      <c r="D109" t="s">
        <v>150</v>
      </c>
    </row>
    <row r="110" spans="4:4" x14ac:dyDescent="0.25">
      <c r="D110" t="s">
        <v>151</v>
      </c>
    </row>
    <row r="111" spans="4:4" x14ac:dyDescent="0.25">
      <c r="D111" t="s">
        <v>152</v>
      </c>
    </row>
    <row r="112" spans="4:4" x14ac:dyDescent="0.25">
      <c r="D112" t="s">
        <v>153</v>
      </c>
    </row>
    <row r="113" spans="4:4" x14ac:dyDescent="0.25">
      <c r="D113" t="s">
        <v>154</v>
      </c>
    </row>
    <row r="114" spans="4:4" x14ac:dyDescent="0.25">
      <c r="D114" t="s">
        <v>155</v>
      </c>
    </row>
  </sheetData>
  <pageMargins left="0.75" right="0.75" top="1" bottom="1" header="0.5" footer="0.5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Ms.C. Franklin Ramos Lamadrid</cp:lastModifiedBy>
  <cp:lastPrinted>2026-02-17T03:18:08Z</cp:lastPrinted>
  <dcterms:created xsi:type="dcterms:W3CDTF">2026-01-31T01:20:47Z</dcterms:created>
  <dcterms:modified xsi:type="dcterms:W3CDTF">2026-02-17T03:18:39Z</dcterms:modified>
</cp:coreProperties>
</file>